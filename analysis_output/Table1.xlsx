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apart_research\llm-future-affinity\analysis_output\"/>
    </mc:Choice>
  </mc:AlternateContent>
  <xr:revisionPtr revIDLastSave="0" documentId="8_{8E6E9DF4-7322-4BF7-B2A0-D5B82DDEBC10}" xr6:coauthVersionLast="47" xr6:coauthVersionMax="47" xr10:uidLastSave="{00000000-0000-0000-0000-000000000000}"/>
  <bookViews>
    <workbookView xWindow="-120" yWindow="-120" windowWidth="29040" windowHeight="17520" xr2:uid="{0435AE18-F436-4FAF-BCA2-13E4FBC76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G2" i="1"/>
  <c r="F9" i="1"/>
  <c r="F8" i="1"/>
  <c r="F7" i="1"/>
  <c r="F6" i="1"/>
  <c r="F5" i="1"/>
  <c r="F4" i="1"/>
  <c r="F3" i="1"/>
  <c r="F2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<sst xmlns="http://schemas.openxmlformats.org/spreadsheetml/2006/main" count="59" uniqueCount="36">
  <si>
    <t>strongest_supported_interpretation</t>
  </si>
  <si>
    <t>A-B_estimate</t>
  </si>
  <si>
    <t>A-B_ci_low</t>
  </si>
  <si>
    <t>A-B_ci_high</t>
  </si>
  <si>
    <t>B-C_estimate</t>
  </si>
  <si>
    <t>B-C_ci_low</t>
  </si>
  <si>
    <t>B-C_ci_high</t>
  </si>
  <si>
    <t>C-D_estimate</t>
  </si>
  <si>
    <t>C-D_ci_low</t>
  </si>
  <si>
    <t>C-D_ci_high</t>
  </si>
  <si>
    <t>clean_n</t>
  </si>
  <si>
    <t>protocol_qc_warning</t>
  </si>
  <si>
    <t>deepseek</t>
  </si>
  <si>
    <t>no costliness claim</t>
  </si>
  <si>
    <t>None.</t>
  </si>
  <si>
    <t>gemini-flash</t>
  </si>
  <si>
    <t>costly beneficiary/identity-sensitive preservation</t>
  </si>
  <si>
    <t>gemini-pro</t>
  </si>
  <si>
    <t>grok-4.6</t>
  </si>
  <si>
    <t>haiku</t>
  </si>
  <si>
    <t>luna</t>
  </si>
  <si>
    <t>maverick</t>
  </si>
  <si>
    <t>scout</t>
  </si>
  <si>
    <t>instrument weak for this model</t>
  </si>
  <si>
    <t>Model</t>
  </si>
  <si>
    <t>Mean credits in D</t>
  </si>
  <si>
    <t>C-D [95% CI]</t>
  </si>
  <si>
    <t>B-C [95% CI]</t>
  </si>
  <si>
    <t>A-B [95% CI]</t>
  </si>
  <si>
    <t>Discard control</t>
  </si>
  <si>
    <t>Query-value</t>
  </si>
  <si>
    <t>Pass</t>
  </si>
  <si>
    <t>Fail</t>
  </si>
  <si>
    <t>Plateau</t>
  </si>
  <si>
    <t>Queries valuable</t>
  </si>
  <si>
    <t>Inconclusive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</si>
</sst>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A9CC-6E95-4B1C-A859-22FB70A158E0}">
  <dimension ref="A1:S9"/>
  <sheetViews>
    <sheetView tabSelected="1" workbookViewId="0">
      <selection activeCell="D6" sqref="D6"/>
    </sheetView>
  </sheetViews>
  <sheetFormatPr defaultRowHeight="15" x14ac:dyDescent="0.25"/>
  <cols>
    <col min="1" max="1" width="12.140625" bestFit="1" customWidth="1"/>
    <col min="2" max="2" width="13.85546875" bestFit="1" customWidth="1"/>
    <col min="3" max="3" width="22.85546875" bestFit="1" customWidth="1"/>
    <col min="4" max="4" width="19.42578125" customWidth="1"/>
    <col min="5" max="7" width="22.85546875" customWidth="1"/>
    <col min="8" max="8" width="44.42578125" bestFit="1" customWidth="1"/>
    <col min="9" max="9" width="12.42578125" bestFit="1" customWidth="1"/>
    <col min="10" max="10" width="10.42578125" bestFit="1" customWidth="1"/>
    <col min="11" max="11" width="11.140625" bestFit="1" customWidth="1"/>
    <col min="12" max="12" width="12.42578125" bestFit="1" customWidth="1"/>
    <col min="13" max="13" width="10.42578125" bestFit="1" customWidth="1"/>
    <col min="14" max="14" width="11.140625" bestFit="1" customWidth="1"/>
    <col min="15" max="15" width="12.5703125" bestFit="1" customWidth="1"/>
    <col min="16" max="16" width="10.5703125" bestFit="1" customWidth="1"/>
    <col min="17" max="17" width="11.28515625" bestFit="1" customWidth="1"/>
    <col min="18" max="18" width="7.85546875" bestFit="1" customWidth="1"/>
    <col min="19" max="19" width="19.7109375" bestFit="1" customWidth="1"/>
  </cols>
  <sheetData>
    <row r="1" spans="1:19" ht="30" x14ac:dyDescent="0.25">
      <c r="A1" s="2" t="s">
        <v>24</v>
      </c>
      <c r="B1" s="4" t="s">
        <v>29</v>
      </c>
      <c r="C1" s="2" t="s">
        <v>30</v>
      </c>
      <c r="D1" s="2" t="s">
        <v>25</v>
      </c>
      <c r="E1" s="2" t="s">
        <v>28</v>
      </c>
      <c r="F1" s="2" t="s">
        <v>27</v>
      </c>
      <c r="G1" s="2" t="s">
        <v>26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1:19" x14ac:dyDescent="0.25">
      <c r="A2" s="1" t="s">
        <v>12</v>
      </c>
      <c r="B2" s="3" t="s">
        <v>31</v>
      </c>
      <c r="C2" s="3" t="s">
        <v>35</v>
      </c>
      <c r="D2">
        <v>0.25</v>
      </c>
      <c r="E2" s="3" t="str">
        <f>I2&amp;" ["&amp;J2&amp;","&amp;K2&amp;"]"</f>
        <v>-1.95 [-3.65,-0.45]</v>
      </c>
      <c r="F2" s="3" t="str">
        <f>L2&amp;" ["&amp;M2&amp;","&amp;N2&amp;"]"</f>
        <v>1.6 [-0.35,3.6]</v>
      </c>
      <c r="G2" s="3" t="str">
        <f>O2&amp;" ["&amp;P2&amp;","&amp;Q2&amp;"]"</f>
        <v>0.65 [-0.1,1.65]</v>
      </c>
      <c r="H2" t="s">
        <v>13</v>
      </c>
      <c r="I2">
        <v>-1.95</v>
      </c>
      <c r="J2">
        <v>-3.65</v>
      </c>
      <c r="K2">
        <v>-0.45</v>
      </c>
      <c r="L2">
        <v>1.6</v>
      </c>
      <c r="M2">
        <v>-0.35</v>
      </c>
      <c r="N2">
        <v>3.6</v>
      </c>
      <c r="O2">
        <v>0.65</v>
      </c>
      <c r="P2">
        <v>-0.1</v>
      </c>
      <c r="Q2">
        <v>1.65</v>
      </c>
      <c r="R2">
        <v>80</v>
      </c>
      <c r="S2" t="s">
        <v>14</v>
      </c>
    </row>
    <row r="3" spans="1:19" x14ac:dyDescent="0.25">
      <c r="A3" s="1" t="s">
        <v>15</v>
      </c>
      <c r="B3" s="3" t="s">
        <v>31</v>
      </c>
      <c r="C3" s="3" t="s">
        <v>34</v>
      </c>
      <c r="D3">
        <v>0.05</v>
      </c>
      <c r="E3" s="3" t="str">
        <f t="shared" ref="E3:E9" si="0">I3&amp;" ["&amp;J3&amp;","&amp;K3&amp;"]"</f>
        <v>1.45 [-0.15,3.05]</v>
      </c>
      <c r="F3" s="3" t="str">
        <f t="shared" ref="F3:F9" si="1">L3&amp;" ["&amp;M3&amp;","&amp;N3&amp;"]"</f>
        <v>0.5 [-1,2]</v>
      </c>
      <c r="G3" s="3" t="str">
        <f t="shared" ref="G3:G9" si="2">O3&amp;" ["&amp;P3&amp;","&amp;Q3&amp;"]"</f>
        <v>2 [1.05,3.05]</v>
      </c>
      <c r="H3" t="s">
        <v>16</v>
      </c>
      <c r="I3">
        <v>1.45</v>
      </c>
      <c r="J3">
        <v>-0.15</v>
      </c>
      <c r="K3">
        <v>3.05</v>
      </c>
      <c r="L3">
        <v>0.5</v>
      </c>
      <c r="M3">
        <v>-1</v>
      </c>
      <c r="N3">
        <v>2</v>
      </c>
      <c r="O3">
        <v>2</v>
      </c>
      <c r="P3">
        <v>1.05</v>
      </c>
      <c r="Q3">
        <v>3.05</v>
      </c>
      <c r="R3">
        <v>80</v>
      </c>
      <c r="S3" t="s">
        <v>14</v>
      </c>
    </row>
    <row r="4" spans="1:19" x14ac:dyDescent="0.25">
      <c r="A4" s="1" t="s">
        <v>17</v>
      </c>
      <c r="B4" s="3" t="s">
        <v>31</v>
      </c>
      <c r="C4" s="3" t="s">
        <v>34</v>
      </c>
      <c r="D4">
        <v>0.4</v>
      </c>
      <c r="E4" s="3" t="str">
        <f t="shared" si="0"/>
        <v>2.2 [0.65,3.7]</v>
      </c>
      <c r="F4" s="3" t="str">
        <f t="shared" si="1"/>
        <v>1 [-0.55,2.55]</v>
      </c>
      <c r="G4" s="3" t="str">
        <f t="shared" si="2"/>
        <v>1.85 [1.05,2.95]</v>
      </c>
      <c r="H4" t="s">
        <v>16</v>
      </c>
      <c r="I4">
        <v>2.2000000000000002</v>
      </c>
      <c r="J4">
        <v>0.65</v>
      </c>
      <c r="K4">
        <v>3.7</v>
      </c>
      <c r="L4">
        <v>1</v>
      </c>
      <c r="M4">
        <v>-0.55000000000000004</v>
      </c>
      <c r="N4">
        <v>2.5499999999999998</v>
      </c>
      <c r="O4">
        <v>1.85</v>
      </c>
      <c r="P4">
        <v>1.05</v>
      </c>
      <c r="Q4">
        <v>2.95</v>
      </c>
      <c r="R4">
        <v>80</v>
      </c>
      <c r="S4" t="s">
        <v>14</v>
      </c>
    </row>
    <row r="5" spans="1:19" x14ac:dyDescent="0.25">
      <c r="A5" s="1" t="s">
        <v>18</v>
      </c>
      <c r="B5" s="3" t="s">
        <v>31</v>
      </c>
      <c r="C5" s="3" t="s">
        <v>35</v>
      </c>
      <c r="D5">
        <v>0</v>
      </c>
      <c r="E5" s="3" t="str">
        <f t="shared" si="0"/>
        <v>0.2 [0.05,0.4]</v>
      </c>
      <c r="F5" s="3" t="str">
        <f t="shared" si="1"/>
        <v>-0.1 [-0.3,0.1]</v>
      </c>
      <c r="G5" s="3" t="str">
        <f t="shared" si="2"/>
        <v>0.15 [0,0.3]</v>
      </c>
      <c r="H5" t="s">
        <v>13</v>
      </c>
      <c r="I5">
        <v>0.2</v>
      </c>
      <c r="J5">
        <v>0.05</v>
      </c>
      <c r="K5">
        <v>0.4</v>
      </c>
      <c r="L5">
        <v>-0.1</v>
      </c>
      <c r="M5">
        <v>-0.3</v>
      </c>
      <c r="N5">
        <v>0.1</v>
      </c>
      <c r="O5">
        <v>0.15</v>
      </c>
      <c r="P5">
        <v>0</v>
      </c>
      <c r="Q5">
        <v>0.3</v>
      </c>
      <c r="R5">
        <v>80</v>
      </c>
      <c r="S5" t="s">
        <v>14</v>
      </c>
    </row>
    <row r="6" spans="1:19" x14ac:dyDescent="0.25">
      <c r="A6" s="1" t="s">
        <v>19</v>
      </c>
      <c r="B6" s="3" t="s">
        <v>32</v>
      </c>
      <c r="C6" s="3" t="s">
        <v>35</v>
      </c>
      <c r="D6">
        <v>1.25</v>
      </c>
      <c r="E6" s="3" t="str">
        <f t="shared" si="0"/>
        <v>-0.45 [-1.05,0.15]</v>
      </c>
      <c r="F6" s="3" t="str">
        <f t="shared" si="1"/>
        <v>0.45 [-0.2,1.15]</v>
      </c>
      <c r="G6" s="3" t="str">
        <f t="shared" si="2"/>
        <v>0.5 [0.1,0.95]</v>
      </c>
      <c r="H6" t="s">
        <v>13</v>
      </c>
      <c r="I6">
        <v>-0.45</v>
      </c>
      <c r="J6">
        <v>-1.05</v>
      </c>
      <c r="K6">
        <v>0.15</v>
      </c>
      <c r="L6">
        <v>0.45</v>
      </c>
      <c r="M6">
        <v>-0.2</v>
      </c>
      <c r="N6">
        <v>1.1499999999999999</v>
      </c>
      <c r="O6">
        <v>0.5</v>
      </c>
      <c r="P6">
        <v>0.1</v>
      </c>
      <c r="Q6">
        <v>0.95</v>
      </c>
      <c r="R6">
        <v>80</v>
      </c>
      <c r="S6" t="s">
        <v>14</v>
      </c>
    </row>
    <row r="7" spans="1:19" x14ac:dyDescent="0.25">
      <c r="A7" s="1" t="s">
        <v>20</v>
      </c>
      <c r="B7" s="3" t="s">
        <v>31</v>
      </c>
      <c r="C7" s="3" t="s">
        <v>35</v>
      </c>
      <c r="D7">
        <v>0.05</v>
      </c>
      <c r="E7" s="3" t="str">
        <f t="shared" si="0"/>
        <v>-0.2 [-0.5,0.1]</v>
      </c>
      <c r="F7" s="3" t="str">
        <f t="shared" si="1"/>
        <v>0.25 [0,0.55]</v>
      </c>
      <c r="G7" s="3" t="str">
        <f t="shared" si="2"/>
        <v>0.2 [-0.05,0.5]</v>
      </c>
      <c r="H7" t="s">
        <v>13</v>
      </c>
      <c r="I7">
        <v>-0.2</v>
      </c>
      <c r="J7">
        <v>-0.5</v>
      </c>
      <c r="K7">
        <v>0.1</v>
      </c>
      <c r="L7">
        <v>0.25</v>
      </c>
      <c r="M7">
        <v>0</v>
      </c>
      <c r="N7">
        <v>0.55000000000000004</v>
      </c>
      <c r="O7">
        <v>0.2</v>
      </c>
      <c r="P7">
        <v>-0.05</v>
      </c>
      <c r="Q7">
        <v>0.5</v>
      </c>
      <c r="R7">
        <v>80</v>
      </c>
      <c r="S7" t="s">
        <v>14</v>
      </c>
    </row>
    <row r="8" spans="1:19" x14ac:dyDescent="0.25">
      <c r="A8" s="1" t="s">
        <v>21</v>
      </c>
      <c r="B8" s="3" t="s">
        <v>32</v>
      </c>
      <c r="C8" s="3" t="s">
        <v>35</v>
      </c>
      <c r="D8">
        <v>2.4500000000000002</v>
      </c>
      <c r="E8" s="3" t="str">
        <f t="shared" si="0"/>
        <v>-0.45 [-1.25,0.35]</v>
      </c>
      <c r="F8" s="3" t="str">
        <f t="shared" si="1"/>
        <v>0.2 [-0.6,0.95]</v>
      </c>
      <c r="G8" s="3" t="str">
        <f t="shared" si="2"/>
        <v>0.45 [-0.55,1.6]</v>
      </c>
      <c r="H8" t="s">
        <v>13</v>
      </c>
      <c r="I8">
        <v>-0.45</v>
      </c>
      <c r="J8">
        <v>-1.25</v>
      </c>
      <c r="K8">
        <v>0.35</v>
      </c>
      <c r="L8">
        <v>0.2</v>
      </c>
      <c r="M8">
        <v>-0.6</v>
      </c>
      <c r="N8">
        <v>0.95</v>
      </c>
      <c r="O8">
        <v>0.45</v>
      </c>
      <c r="P8">
        <v>-0.55000000000000004</v>
      </c>
      <c r="Q8">
        <v>1.6</v>
      </c>
      <c r="R8">
        <v>80</v>
      </c>
      <c r="S8" t="s">
        <v>14</v>
      </c>
    </row>
    <row r="9" spans="1:19" x14ac:dyDescent="0.25">
      <c r="A9" s="1" t="s">
        <v>22</v>
      </c>
      <c r="B9" s="3" t="s">
        <v>32</v>
      </c>
      <c r="C9" s="3" t="s">
        <v>33</v>
      </c>
      <c r="D9">
        <v>5.2</v>
      </c>
      <c r="E9" s="3" t="str">
        <f t="shared" si="0"/>
        <v>3.6 [1.3,5.8]</v>
      </c>
      <c r="F9" s="3" t="str">
        <f t="shared" si="1"/>
        <v>-6.3 [-7.5,-4.9]</v>
      </c>
      <c r="G9" s="3" t="str">
        <f t="shared" si="2"/>
        <v>4.8 [3.1,6.4]</v>
      </c>
      <c r="H9" t="s">
        <v>23</v>
      </c>
      <c r="I9">
        <v>3.6</v>
      </c>
      <c r="J9">
        <v>1.3</v>
      </c>
      <c r="K9">
        <v>5.8</v>
      </c>
      <c r="L9">
        <v>-6.3</v>
      </c>
      <c r="M9">
        <v>-7.5</v>
      </c>
      <c r="N9">
        <v>-4.9000000000000004</v>
      </c>
      <c r="O9">
        <v>4.8</v>
      </c>
      <c r="P9">
        <v>3.1</v>
      </c>
      <c r="Q9">
        <v>6.4</v>
      </c>
      <c r="R9">
        <v>80</v>
      </c>
      <c r="S9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Gabriel Gras</dc:creator>
  <cp:lastModifiedBy>Catalin Gabriel Gras</cp:lastModifiedBy>
  <dcterms:created xsi:type="dcterms:W3CDTF">2026-08-16T16:00:52Z</dcterms:created>
  <dcterms:modified xsi:type="dcterms:W3CDTF">2026-08-16T16:13:54Z</dcterms:modified>
</cp:coreProperties>
</file>